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13_ncr:1_{5DCE36B6-0469-40F5-AD57-6880F77F7BEF}" xr6:coauthVersionLast="47" xr6:coauthVersionMax="47" xr10:uidLastSave="{00000000-0000-0000-0000-000000000000}"/>
  <bookViews>
    <workbookView xWindow="-120" yWindow="-120" windowWidth="38640" windowHeight="21120" xr2:uid="{0CA07CFE-78C6-4054-9F6F-B6E069F52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V5" i="1" s="1"/>
  <c r="T6" i="1"/>
  <c r="V6" i="1" s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V7" i="1" l="1"/>
  <c r="T7" i="1"/>
</calcChain>
</file>

<file path=xl/sharedStrings.xml><?xml version="1.0" encoding="utf-8"?>
<sst xmlns="http://schemas.openxmlformats.org/spreadsheetml/2006/main" count="113" uniqueCount="78">
  <si>
    <t>Timeline (13 weeks, May 4 – Jul 31, 2026)</t>
  </si>
  <si>
    <t>Track / Task</t>
  </si>
  <si>
    <t>Owner</t>
  </si>
  <si>
    <t>Hours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</si>
  <si>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</si>
  <si>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</si>
  <si>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</si>
  <si>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</si>
  <si>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</si>
  <si>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</si>
  <si>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</si>
  <si>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</si>
  <si>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</si>
  <si>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</si>
  <si>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</si>
  <si>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</si>
  <si>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</si>
  <si>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May 04</t>
  </si>
  <si>
    <t>May 11</t>
  </si>
  <si>
    <t>May 18</t>
  </si>
  <si>
    <t>May 25</t>
  </si>
  <si>
    <t>Jun 01</t>
  </si>
  <si>
    <t>Jun 08</t>
  </si>
  <si>
    <t>Jun 15</t>
  </si>
  <si>
    <t>Jun 22</t>
  </si>
  <si>
    <t>Jun 29</t>
  </si>
  <si>
    <t>Jul 06</t>
  </si>
  <si>
    <t>Jul 13</t>
  </si>
  <si>
    <t>Jul 20</t>
  </si>
  <si>
    <t>Jul 27</t>
  </si>
  <si>
    <t>FOUNDATIONS</t>
  </si>
  <si>
    <t>Data Handling (ScriptableObject-driven)</t>
  </si>
  <si>
    <t>Common interaction event interface + Interaction System (Start, Play, End System)</t>
  </si>
  <si>
    <t>Refactor save system</t>
  </si>
  <si>
    <t>Animator Controller templates</t>
  </si>
  <si>
    <t>Asset audit, prefab pivot/socket review for glassware</t>
  </si>
  <si>
    <t xml:space="preserve">INTERACTION </t>
  </si>
  <si>
    <t>Drag-and-snap primitive.(scenes (4–9))</t>
  </si>
  <si>
    <t>Drag with auto-rotate-in-zone (Buret rinse )</t>
  </si>
  <si>
    <t>Refactor pan-rotate-scale</t>
  </si>
  <si>
    <t>Pinch-zoom (Camera Zoom) on burette</t>
  </si>
  <si>
    <t>Pull/Drag-detach (Indicator scenes (sc.9 / sc.8 Komplek))</t>
  </si>
  <si>
    <t>Circular swirl gesture detector (Erlenmeyer mixing)</t>
  </si>
  <si>
    <t>Glassware base anim library (drag, attach, pour)</t>
  </si>
  <si>
    <t>Buret prep clips (BA-4 + K-4 + EDTA rinse)</t>
  </si>
  <si>
    <t>BEBAS AIR SCENES (1-12)</t>
  </si>
  <si>
    <t>BA-4 Buret prep (7 steps)</t>
  </si>
  <si>
    <t>BA-5 Baku primer (4 steps)</t>
  </si>
  <si>
    <t>BA-6 Blanko (6 steps)</t>
  </si>
  <si>
    <t>BA-7 Penimbangan (3 steps)</t>
  </si>
  <si>
    <t>BA-8 Larutan sampel (6 steps)</t>
  </si>
  <si>
    <t>BA-9 Indikator (4 steps, ×3 Erlenmeyers)</t>
  </si>
  <si>
    <t>BA-10/11/12 Pembakuan + Blanko + Sampel triplo</t>
  </si>
  <si>
    <t>BA scene clips: 5/6/7/8/9 (pour, attach, swirl, drop)</t>
  </si>
  <si>
    <t>BA scene clips: 10/11/12 (5 mL drop, triplo)</t>
  </si>
  <si>
    <t>KOMPLEKSOMETRI SCENES (1-12)</t>
  </si>
  <si>
    <t>K-4 Buret prep (6 steps)</t>
  </si>
  <si>
    <t xml:space="preserve">K-5 Baku primer (10 steps) </t>
  </si>
  <si>
    <t>K-6 Blanko (6 steps)</t>
  </si>
  <si>
    <t>K-7 Penimbangan (3 steps)</t>
  </si>
  <si>
    <t>K-8 Larutan sampel (7 steps)</t>
  </si>
  <si>
    <t>K-9 Indikator + color transition wiring</t>
  </si>
  <si>
    <t>K-10/11/12 Titrasi triplo &amp; blanko</t>
  </si>
  <si>
    <t>K scene clips: 5/6/7</t>
  </si>
  <si>
    <t>K scene clips: 8/9/10/11/12 + Komplek anim controllers</t>
  </si>
  <si>
    <t>INTEGRATION, POLISH &amp; QA</t>
  </si>
  <si>
    <t>Bug-fix, Polishing, Full regression playthrough (both titrations × all scenes)</t>
  </si>
  <si>
    <t>Final clip revisions, Animator polish</t>
  </si>
  <si>
    <t>Build Android + Bug Buffer</t>
  </si>
  <si>
    <t>WEEKLY TOTALS (h)</t>
  </si>
  <si>
    <t>P / A</t>
  </si>
  <si>
    <t>Kevin</t>
  </si>
  <si>
    <t>Syafira</t>
  </si>
  <si>
    <t>Total Hours</t>
  </si>
  <si>
    <t>Rate</t>
  </si>
  <si>
    <t>Total Cost</t>
  </si>
  <si>
    <t>Total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</si>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</sst>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i/>
      <sz val="8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BDD7EE"/>
        <bgColor indexed="64"/>
      </patternFill>
    </fill>
    <fill>
      <patternFill patternType="solid">
        <fgColor rgb="FFBDD7EE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4" fillId="3" borderId="2" xfId="0" applyFont="1" applyFill="1" applyBorder="1"/>
    <xf numFmtId="0" fontId="6" fillId="5" borderId="4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5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BBFC-3555-4EAD-A7BC-89C60BC94EC1}">
  <dimension ref="A1:V45"/>
  <sheetViews>
    <sheetView tabSelected="1" zoomScaleNormal="100" workbookViewId="0">
      <selection activeCell="T5" sqref="T5"/>
    </sheetView>
  </sheetViews>
  <sheetFormatPr defaultRowHeight="15" x14ac:dyDescent="0.25"/>
  <cols>
    <col min="1" max="1" width="50" customWidth="1"/>
    <col min="2" max="2" width="12" customWidth="1"/>
    <col min="3" max="3" width="7" customWidth="1"/>
    <col min="4" max="16" width="8" customWidth="1"/>
    <col min="19" max="19" width="18.5703125" customWidth="1"/>
    <col min="20" max="20" width="12" customWidth="1"/>
    <col min="21" max="21" width="14" bestFit="1" customWidth="1"/>
    <col min="22" max="22" width="16.7109375" bestFit="1" customWidth="1"/>
  </cols>
  <sheetData>
    <row r="1" spans="1:22" ht="18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3" spans="1:22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22" x14ac:dyDescent="0.25">
      <c r="A4" s="2"/>
      <c r="B4" s="2"/>
      <c r="C4" s="2"/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  <c r="S4" s="19"/>
      <c r="T4" s="19" t="s">
        <v>73</v>
      </c>
      <c r="U4" s="19" t="s">
        <v>74</v>
      </c>
      <c r="V4" s="19" t="s">
        <v>75</v>
      </c>
    </row>
    <row r="5" spans="1:22" x14ac:dyDescent="0.25">
      <c r="A5" s="3" t="s">
        <v>30</v>
      </c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S5" s="20" t="s">
        <v>71</v>
      </c>
      <c r="T5" s="21">
        <f>SUMIF(B6:B43, "Kevin", C6:C43)</f>
        <v>167</v>
      </c>
      <c r="U5" s="22">
        <v>90000</v>
      </c>
      <c r="V5" s="22">
        <f>T5*U5</f>
        <v>15030000</v>
      </c>
    </row>
    <row r="6" spans="1:22" x14ac:dyDescent="0.25">
      <c r="A6" s="4" t="s">
        <v>31</v>
      </c>
      <c r="B6" s="10" t="s">
        <v>71</v>
      </c>
      <c r="C6" s="13">
        <v>4</v>
      </c>
      <c r="D6" s="6">
        <v>4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S6" s="23" t="s">
        <v>72</v>
      </c>
      <c r="T6" s="24">
        <f>87-27</f>
        <v>60</v>
      </c>
      <c r="U6" s="22">
        <v>75000</v>
      </c>
      <c r="V6" s="22">
        <f>T6*U6</f>
        <v>4500000</v>
      </c>
    </row>
    <row r="7" spans="1:22" ht="25.5" x14ac:dyDescent="0.25">
      <c r="A7" s="4" t="s">
        <v>32</v>
      </c>
      <c r="B7" s="10" t="s">
        <v>71</v>
      </c>
      <c r="C7" s="13">
        <v>12</v>
      </c>
      <c r="D7" s="6">
        <v>8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S7" s="19" t="s">
        <v>76</v>
      </c>
      <c r="T7" s="19">
        <f xml:space="preserve"> SUM(T5:T6)</f>
        <v>227</v>
      </c>
      <c r="U7" s="22"/>
      <c r="V7" s="22">
        <f t="shared" ref="V7" si="0" xml:space="preserve"> SUM(V5:V6)</f>
        <v>19530000</v>
      </c>
    </row>
    <row r="8" spans="1:22" x14ac:dyDescent="0.25">
      <c r="A8" s="4" t="s">
        <v>33</v>
      </c>
      <c r="B8" s="10" t="s">
        <v>71</v>
      </c>
      <c r="C8" s="13">
        <v>2</v>
      </c>
      <c r="D8" s="14">
        <v>2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22" x14ac:dyDescent="0.25">
      <c r="A9" s="4" t="s">
        <v>34</v>
      </c>
      <c r="B9" s="10" t="s">
        <v>71</v>
      </c>
      <c r="C9" s="13">
        <v>2</v>
      </c>
      <c r="D9" s="14">
        <v>2</v>
      </c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2" x14ac:dyDescent="0.25">
      <c r="A10" s="4" t="s">
        <v>35</v>
      </c>
      <c r="B10" s="11" t="s">
        <v>72</v>
      </c>
      <c r="C10" s="13">
        <v>10</v>
      </c>
      <c r="D10" s="9">
        <v>10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2" x14ac:dyDescent="0.25">
      <c r="A11" s="3" t="s">
        <v>36</v>
      </c>
      <c r="B11" s="1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22" x14ac:dyDescent="0.25">
      <c r="A12" s="4" t="s">
        <v>37</v>
      </c>
      <c r="B12" s="10" t="s">
        <v>71</v>
      </c>
      <c r="C12" s="13">
        <v>8</v>
      </c>
      <c r="D12" s="16"/>
      <c r="E12" s="6">
        <v>8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2" x14ac:dyDescent="0.25">
      <c r="A13" s="4" t="s">
        <v>38</v>
      </c>
      <c r="B13" s="10" t="s">
        <v>71</v>
      </c>
      <c r="C13" s="13">
        <v>5</v>
      </c>
      <c r="D13" s="16"/>
      <c r="E13" s="16"/>
      <c r="F13" s="6">
        <v>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2" x14ac:dyDescent="0.25">
      <c r="A14" s="4" t="s">
        <v>39</v>
      </c>
      <c r="B14" s="10" t="s">
        <v>71</v>
      </c>
      <c r="C14" s="13">
        <v>8</v>
      </c>
      <c r="D14" s="16"/>
      <c r="E14" s="6">
        <v>8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2" x14ac:dyDescent="0.25">
      <c r="A15" s="4" t="s">
        <v>40</v>
      </c>
      <c r="B15" s="10" t="s">
        <v>71</v>
      </c>
      <c r="C15" s="13">
        <v>6</v>
      </c>
      <c r="D15" s="16"/>
      <c r="E15" s="16"/>
      <c r="F15" s="6">
        <v>6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2" x14ac:dyDescent="0.25">
      <c r="A16" s="4" t="s">
        <v>41</v>
      </c>
      <c r="B16" s="10" t="s">
        <v>71</v>
      </c>
      <c r="C16" s="13">
        <v>4</v>
      </c>
      <c r="D16" s="16"/>
      <c r="E16" s="16"/>
      <c r="F16" s="6">
        <v>4</v>
      </c>
      <c r="G16" s="16"/>
      <c r="H16" s="15"/>
      <c r="I16" s="16"/>
      <c r="J16" s="16"/>
      <c r="K16" s="16"/>
      <c r="L16" s="16"/>
      <c r="M16" s="16"/>
      <c r="N16" s="16"/>
      <c r="O16" s="16"/>
      <c r="P16" s="16"/>
    </row>
    <row r="17" spans="1:16" x14ac:dyDescent="0.25">
      <c r="A17" s="4" t="s">
        <v>42</v>
      </c>
      <c r="B17" s="10" t="s">
        <v>71</v>
      </c>
      <c r="C17" s="13">
        <v>6</v>
      </c>
      <c r="D17" s="16"/>
      <c r="E17" s="16"/>
      <c r="F17" s="6">
        <v>6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 x14ac:dyDescent="0.25">
      <c r="A18" s="4" t="s">
        <v>43</v>
      </c>
      <c r="B18" s="11" t="s">
        <v>72</v>
      </c>
      <c r="C18" s="16">
        <v>5</v>
      </c>
      <c r="D18" s="16"/>
      <c r="E18" s="16"/>
      <c r="F18" s="18">
        <v>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x14ac:dyDescent="0.25">
      <c r="A19" s="4" t="s">
        <v>44</v>
      </c>
      <c r="B19" s="11" t="s">
        <v>72</v>
      </c>
      <c r="C19" s="16">
        <v>5</v>
      </c>
      <c r="D19" s="16"/>
      <c r="E19" s="16"/>
      <c r="F19" s="18">
        <v>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1:16" x14ac:dyDescent="0.25">
      <c r="A20" s="3" t="s">
        <v>45</v>
      </c>
      <c r="B20" s="12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16" x14ac:dyDescent="0.25">
      <c r="A21" s="4" t="s">
        <v>46</v>
      </c>
      <c r="B21" s="10" t="s">
        <v>71</v>
      </c>
      <c r="C21" s="13">
        <v>7</v>
      </c>
      <c r="D21" s="16"/>
      <c r="E21" s="16"/>
      <c r="F21" s="16"/>
      <c r="G21" s="6">
        <v>7</v>
      </c>
      <c r="H21" s="16"/>
      <c r="I21" s="16"/>
      <c r="J21" s="16"/>
      <c r="K21" s="16"/>
      <c r="L21" s="16"/>
      <c r="M21" s="16"/>
      <c r="N21" s="16"/>
      <c r="O21" s="16"/>
      <c r="P21" s="16"/>
    </row>
    <row r="22" spans="1:16" x14ac:dyDescent="0.25">
      <c r="A22" s="4" t="s">
        <v>47</v>
      </c>
      <c r="B22" s="11" t="s">
        <v>72</v>
      </c>
      <c r="C22" s="13">
        <v>6</v>
      </c>
      <c r="D22" s="16"/>
      <c r="E22" s="16"/>
      <c r="F22" s="16"/>
      <c r="G22" s="6">
        <v>6</v>
      </c>
      <c r="H22" s="16"/>
      <c r="I22" s="16"/>
      <c r="J22" s="16"/>
      <c r="K22" s="16"/>
      <c r="L22" s="16"/>
      <c r="M22" s="16"/>
      <c r="N22" s="16"/>
      <c r="O22" s="16"/>
      <c r="P22" s="16"/>
    </row>
    <row r="23" spans="1:16" x14ac:dyDescent="0.25">
      <c r="A23" s="4" t="s">
        <v>48</v>
      </c>
      <c r="B23" s="10" t="s">
        <v>71</v>
      </c>
      <c r="C23" s="13">
        <v>8</v>
      </c>
      <c r="D23" s="16"/>
      <c r="E23" s="16"/>
      <c r="F23" s="16"/>
      <c r="G23" s="16"/>
      <c r="H23" s="6">
        <v>8</v>
      </c>
      <c r="I23" s="16"/>
      <c r="J23" s="16"/>
      <c r="K23" s="16"/>
      <c r="L23" s="16"/>
      <c r="M23" s="16"/>
      <c r="N23" s="16"/>
      <c r="O23" s="16"/>
      <c r="P23" s="16"/>
    </row>
    <row r="24" spans="1:16" x14ac:dyDescent="0.25">
      <c r="A24" s="4" t="s">
        <v>49</v>
      </c>
      <c r="B24" s="11" t="s">
        <v>72</v>
      </c>
      <c r="C24" s="13">
        <v>3</v>
      </c>
      <c r="D24" s="16"/>
      <c r="E24" s="16"/>
      <c r="F24" s="16"/>
      <c r="G24" s="6">
        <v>3</v>
      </c>
      <c r="H24" s="16"/>
      <c r="I24" s="16"/>
      <c r="J24" s="16"/>
      <c r="K24" s="16"/>
      <c r="L24" s="16"/>
      <c r="M24" s="16"/>
      <c r="N24" s="16"/>
      <c r="O24" s="16"/>
      <c r="P24" s="16"/>
    </row>
    <row r="25" spans="1:16" x14ac:dyDescent="0.25">
      <c r="A25" s="4" t="s">
        <v>50</v>
      </c>
      <c r="B25" s="10" t="s">
        <v>71</v>
      </c>
      <c r="C25" s="13">
        <v>9</v>
      </c>
      <c r="D25" s="16"/>
      <c r="E25" s="16"/>
      <c r="F25" s="16"/>
      <c r="G25" s="16"/>
      <c r="H25" s="6">
        <v>9</v>
      </c>
      <c r="I25" s="16"/>
      <c r="J25" s="16"/>
      <c r="K25" s="16"/>
      <c r="L25" s="16"/>
      <c r="M25" s="16"/>
      <c r="N25" s="16"/>
      <c r="O25" s="16"/>
      <c r="P25" s="16"/>
    </row>
    <row r="26" spans="1:16" x14ac:dyDescent="0.25">
      <c r="A26" s="4" t="s">
        <v>51</v>
      </c>
      <c r="B26" s="11" t="s">
        <v>72</v>
      </c>
      <c r="C26" s="13">
        <v>7</v>
      </c>
      <c r="D26" s="16"/>
      <c r="E26" s="16"/>
      <c r="F26" s="16"/>
      <c r="G26" s="16"/>
      <c r="H26" s="16"/>
      <c r="I26" s="6">
        <v>7</v>
      </c>
      <c r="J26" s="16"/>
      <c r="K26" s="16"/>
      <c r="L26" s="16"/>
      <c r="M26" s="16"/>
      <c r="N26" s="16"/>
      <c r="O26" s="16"/>
      <c r="P26" s="16"/>
    </row>
    <row r="27" spans="1:16" x14ac:dyDescent="0.25">
      <c r="A27" s="4" t="s">
        <v>52</v>
      </c>
      <c r="B27" s="10" t="s">
        <v>71</v>
      </c>
      <c r="C27" s="13">
        <v>9</v>
      </c>
      <c r="D27" s="16"/>
      <c r="E27" s="16"/>
      <c r="F27" s="16"/>
      <c r="G27" s="16"/>
      <c r="H27" s="16"/>
      <c r="I27" s="6">
        <v>9</v>
      </c>
      <c r="J27" s="16"/>
      <c r="K27" s="16"/>
      <c r="L27" s="16"/>
      <c r="M27" s="16"/>
      <c r="N27" s="16"/>
      <c r="O27" s="16"/>
      <c r="P27" s="16"/>
    </row>
    <row r="28" spans="1:16" x14ac:dyDescent="0.25">
      <c r="A28" s="4" t="s">
        <v>53</v>
      </c>
      <c r="B28" s="11" t="s">
        <v>72</v>
      </c>
      <c r="C28" s="13">
        <v>22</v>
      </c>
      <c r="D28" s="16"/>
      <c r="E28" s="16"/>
      <c r="F28" s="16"/>
      <c r="G28" s="16"/>
      <c r="H28" s="16"/>
      <c r="I28" s="16"/>
      <c r="J28" s="9">
        <v>22</v>
      </c>
      <c r="K28" s="16"/>
      <c r="L28" s="16"/>
      <c r="M28" s="16"/>
      <c r="N28" s="16"/>
      <c r="O28" s="16"/>
      <c r="P28" s="16"/>
    </row>
    <row r="29" spans="1:16" x14ac:dyDescent="0.25">
      <c r="A29" s="4" t="s">
        <v>54</v>
      </c>
      <c r="B29" s="11" t="s">
        <v>72</v>
      </c>
      <c r="C29" s="13">
        <v>8</v>
      </c>
      <c r="D29" s="16"/>
      <c r="E29" s="16"/>
      <c r="F29" s="16"/>
      <c r="G29" s="16"/>
      <c r="H29" s="16"/>
      <c r="I29" s="16"/>
      <c r="J29" s="16"/>
      <c r="K29" s="9">
        <v>8</v>
      </c>
      <c r="L29" s="16"/>
      <c r="M29" s="16"/>
      <c r="N29" s="16"/>
      <c r="O29" s="16"/>
      <c r="P29" s="16"/>
    </row>
    <row r="30" spans="1:16" x14ac:dyDescent="0.25">
      <c r="A30" s="3" t="s">
        <v>55</v>
      </c>
      <c r="B30" s="1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5">
      <c r="A31" s="4" t="s">
        <v>56</v>
      </c>
      <c r="B31" s="10" t="s">
        <v>71</v>
      </c>
      <c r="C31" s="13">
        <v>8</v>
      </c>
      <c r="D31" s="16"/>
      <c r="E31" s="16"/>
      <c r="F31" s="16"/>
      <c r="G31" s="16"/>
      <c r="H31" s="16"/>
      <c r="I31" s="6">
        <v>8</v>
      </c>
      <c r="J31" s="16"/>
      <c r="K31" s="16"/>
      <c r="L31" s="16"/>
      <c r="M31" s="16"/>
      <c r="N31" s="16"/>
      <c r="O31" s="16"/>
      <c r="P31" s="16"/>
    </row>
    <row r="32" spans="1:16" x14ac:dyDescent="0.25">
      <c r="A32" s="4" t="s">
        <v>57</v>
      </c>
      <c r="B32" s="10" t="s">
        <v>71</v>
      </c>
      <c r="C32" s="13">
        <v>12</v>
      </c>
      <c r="D32" s="16"/>
      <c r="E32" s="16"/>
      <c r="F32" s="16"/>
      <c r="G32" s="16"/>
      <c r="H32" s="16"/>
      <c r="I32" s="16"/>
      <c r="J32" s="6">
        <v>12</v>
      </c>
      <c r="K32" s="16"/>
      <c r="L32" s="16"/>
      <c r="M32" s="16"/>
      <c r="N32" s="16"/>
      <c r="O32" s="16"/>
      <c r="P32" s="16"/>
    </row>
    <row r="33" spans="1:16" x14ac:dyDescent="0.25">
      <c r="A33" s="4" t="s">
        <v>58</v>
      </c>
      <c r="B33" s="11" t="s">
        <v>72</v>
      </c>
      <c r="C33" s="13">
        <v>9</v>
      </c>
      <c r="D33" s="16"/>
      <c r="E33" s="16"/>
      <c r="F33" s="16"/>
      <c r="G33" s="16"/>
      <c r="H33" s="16"/>
      <c r="I33" s="16"/>
      <c r="J33" s="6">
        <v>9</v>
      </c>
      <c r="K33" s="16"/>
      <c r="L33" s="16"/>
      <c r="M33" s="16"/>
      <c r="N33" s="16"/>
      <c r="O33" s="16"/>
      <c r="P33" s="16"/>
    </row>
    <row r="34" spans="1:16" x14ac:dyDescent="0.25">
      <c r="A34" s="4" t="s">
        <v>59</v>
      </c>
      <c r="B34" s="11" t="s">
        <v>72</v>
      </c>
      <c r="C34" s="13">
        <v>3</v>
      </c>
      <c r="D34" s="16"/>
      <c r="E34" s="16"/>
      <c r="F34" s="16"/>
      <c r="G34" s="16"/>
      <c r="H34" s="16"/>
      <c r="I34" s="16"/>
      <c r="J34" s="16"/>
      <c r="K34" s="6">
        <v>3</v>
      </c>
      <c r="L34" s="16"/>
      <c r="M34" s="16"/>
      <c r="N34" s="16"/>
      <c r="O34" s="16"/>
      <c r="P34" s="16"/>
    </row>
    <row r="35" spans="1:16" x14ac:dyDescent="0.25">
      <c r="A35" s="4" t="s">
        <v>60</v>
      </c>
      <c r="B35" s="10" t="s">
        <v>71</v>
      </c>
      <c r="C35" s="13">
        <v>9</v>
      </c>
      <c r="D35" s="16"/>
      <c r="E35" s="16"/>
      <c r="F35" s="16"/>
      <c r="G35" s="16"/>
      <c r="H35" s="16"/>
      <c r="I35" s="16"/>
      <c r="J35" s="16"/>
      <c r="K35" s="6">
        <v>9</v>
      </c>
      <c r="L35" s="16"/>
      <c r="M35" s="16"/>
      <c r="N35" s="16"/>
      <c r="O35" s="16"/>
      <c r="P35" s="16"/>
    </row>
    <row r="36" spans="1:16" x14ac:dyDescent="0.25">
      <c r="A36" s="4" t="s">
        <v>61</v>
      </c>
      <c r="B36" s="10" t="s">
        <v>71</v>
      </c>
      <c r="C36" s="13">
        <v>4</v>
      </c>
      <c r="D36" s="16"/>
      <c r="E36" s="16"/>
      <c r="F36" s="16"/>
      <c r="G36" s="16"/>
      <c r="H36" s="16"/>
      <c r="I36" s="16"/>
      <c r="J36" s="16"/>
      <c r="K36" s="16"/>
      <c r="L36" s="6">
        <v>4</v>
      </c>
      <c r="M36" s="16"/>
      <c r="N36" s="16"/>
      <c r="O36" s="16"/>
      <c r="P36" s="16"/>
    </row>
    <row r="37" spans="1:16" x14ac:dyDescent="0.25">
      <c r="A37" s="4" t="s">
        <v>62</v>
      </c>
      <c r="B37" s="10" t="s">
        <v>71</v>
      </c>
      <c r="C37" s="13">
        <v>6</v>
      </c>
      <c r="D37" s="16"/>
      <c r="E37" s="16"/>
      <c r="F37" s="16"/>
      <c r="G37" s="16"/>
      <c r="H37" s="16"/>
      <c r="I37" s="16"/>
      <c r="J37" s="16"/>
      <c r="K37" s="6">
        <v>6</v>
      </c>
      <c r="L37" s="16"/>
      <c r="M37" s="16"/>
      <c r="N37" s="16"/>
      <c r="O37" s="16"/>
      <c r="P37" s="16"/>
    </row>
    <row r="38" spans="1:16" x14ac:dyDescent="0.25">
      <c r="A38" s="4" t="s">
        <v>63</v>
      </c>
      <c r="B38" s="11" t="s">
        <v>72</v>
      </c>
      <c r="C38" s="13">
        <v>2</v>
      </c>
      <c r="D38" s="16"/>
      <c r="E38" s="16"/>
      <c r="F38" s="16"/>
      <c r="G38" s="16"/>
      <c r="H38" s="16"/>
      <c r="I38" s="16"/>
      <c r="J38" s="16"/>
      <c r="K38" s="16"/>
      <c r="L38" s="9">
        <v>2</v>
      </c>
      <c r="M38" s="16"/>
      <c r="N38" s="16"/>
      <c r="O38" s="16"/>
      <c r="P38" s="16"/>
    </row>
    <row r="39" spans="1:16" x14ac:dyDescent="0.25">
      <c r="A39" s="4" t="s">
        <v>64</v>
      </c>
      <c r="B39" s="11" t="s">
        <v>72</v>
      </c>
      <c r="C39" s="13">
        <v>2</v>
      </c>
      <c r="D39" s="16"/>
      <c r="E39" s="16"/>
      <c r="F39" s="16"/>
      <c r="G39" s="16"/>
      <c r="H39" s="16"/>
      <c r="I39" s="16"/>
      <c r="J39" s="16"/>
      <c r="K39" s="16"/>
      <c r="L39" s="16"/>
      <c r="M39" s="9">
        <v>2</v>
      </c>
      <c r="N39" s="16"/>
      <c r="O39" s="16"/>
      <c r="P39" s="16"/>
    </row>
    <row r="40" spans="1:16" x14ac:dyDescent="0.25">
      <c r="A40" s="3" t="s">
        <v>65</v>
      </c>
      <c r="B40" s="12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 ht="25.5" x14ac:dyDescent="0.25">
      <c r="A41" s="4" t="s">
        <v>66</v>
      </c>
      <c r="B41" s="10" t="s">
        <v>71</v>
      </c>
      <c r="C41" s="13">
        <v>32</v>
      </c>
      <c r="D41" s="16"/>
      <c r="E41" s="16"/>
      <c r="F41" s="16"/>
      <c r="G41" s="16"/>
      <c r="H41" s="16"/>
      <c r="I41" s="16"/>
      <c r="J41" s="16"/>
      <c r="K41" s="16"/>
      <c r="L41" s="6">
        <v>8</v>
      </c>
      <c r="M41" s="6">
        <v>8</v>
      </c>
      <c r="N41" s="6">
        <v>8</v>
      </c>
      <c r="O41" s="6">
        <v>8</v>
      </c>
      <c r="P41" s="16"/>
    </row>
    <row r="42" spans="1:16" x14ac:dyDescent="0.25">
      <c r="A42" s="4" t="s">
        <v>67</v>
      </c>
      <c r="B42" s="11" t="s">
        <v>72</v>
      </c>
      <c r="C42" s="13">
        <v>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9">
        <v>5</v>
      </c>
      <c r="P42" s="16"/>
    </row>
    <row r="43" spans="1:16" x14ac:dyDescent="0.25">
      <c r="A43" s="4" t="s">
        <v>68</v>
      </c>
      <c r="B43" s="10" t="s">
        <v>71</v>
      </c>
      <c r="C43" s="13">
        <v>6</v>
      </c>
      <c r="D43" s="16"/>
      <c r="E43" s="16"/>
      <c r="F43" s="16"/>
      <c r="G43" s="16"/>
      <c r="H43" s="16"/>
      <c r="I43" s="16"/>
      <c r="J43" s="16"/>
      <c r="K43" s="16"/>
      <c r="L43" s="6">
        <v>3</v>
      </c>
      <c r="M43" s="6">
        <v>3</v>
      </c>
      <c r="N43" s="16"/>
      <c r="O43" s="16"/>
      <c r="P43" s="16"/>
    </row>
    <row r="44" spans="1:16" x14ac:dyDescent="0.25">
      <c r="A44" s="25" t="s">
        <v>77</v>
      </c>
      <c r="B44" s="10" t="s">
        <v>71</v>
      </c>
      <c r="C44" s="26">
        <v>2</v>
      </c>
      <c r="O44" s="6">
        <v>2</v>
      </c>
    </row>
    <row r="45" spans="1:16" x14ac:dyDescent="0.25">
      <c r="A45" s="7" t="s">
        <v>69</v>
      </c>
      <c r="B45" s="8" t="s">
        <v>70</v>
      </c>
      <c r="C45" s="8">
        <f>SUM(C6:C44)</f>
        <v>256</v>
      </c>
      <c r="D45" s="8">
        <f t="shared" ref="D45:P45" si="1">SUM(D6:D43)</f>
        <v>26</v>
      </c>
      <c r="E45" s="8">
        <f t="shared" si="1"/>
        <v>16</v>
      </c>
      <c r="F45" s="8">
        <f t="shared" si="1"/>
        <v>31</v>
      </c>
      <c r="G45" s="8">
        <f t="shared" si="1"/>
        <v>16</v>
      </c>
      <c r="H45" s="8">
        <f t="shared" si="1"/>
        <v>17</v>
      </c>
      <c r="I45" s="8">
        <f t="shared" si="1"/>
        <v>24</v>
      </c>
      <c r="J45" s="8">
        <f t="shared" si="1"/>
        <v>43</v>
      </c>
      <c r="K45" s="8">
        <f t="shared" si="1"/>
        <v>26</v>
      </c>
      <c r="L45" s="8">
        <f t="shared" si="1"/>
        <v>17</v>
      </c>
      <c r="M45" s="8">
        <f t="shared" si="1"/>
        <v>13</v>
      </c>
      <c r="N45" s="8">
        <f t="shared" si="1"/>
        <v>8</v>
      </c>
      <c r="O45" s="8">
        <f t="shared" si="1"/>
        <v>13</v>
      </c>
      <c r="P45" s="8">
        <f t="shared" si="1"/>
        <v>0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Waworuntu</dc:creator>
  <cp:lastModifiedBy>Kevin Waworuntu</cp:lastModifiedBy>
  <dcterms:created xsi:type="dcterms:W3CDTF">2026-04-28T14:01:55Z</dcterms:created>
  <dcterms:modified xsi:type="dcterms:W3CDTF">2026-05-02T01:46:54Z</dcterms:modified>
</cp:coreProperties>
</file>